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d2298c8315a051/Tài liệu/"/>
    </mc:Choice>
  </mc:AlternateContent>
  <xr:revisionPtr revIDLastSave="0" documentId="8_{546BA450-794F-4374-98FC-5F9696846DB7}" xr6:coauthVersionLast="47" xr6:coauthVersionMax="47" xr10:uidLastSave="{00000000-0000-0000-0000-000000000000}"/>
  <bookViews>
    <workbookView xWindow="-108" yWindow="-108" windowWidth="23256" windowHeight="12456" xr2:uid="{8462E5B1-7286-466A-81C6-29CF8E83D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1" l="1"/>
  <c r="I9" i="1"/>
  <c r="I23" i="1"/>
  <c r="I34" i="1"/>
  <c r="I36" i="1"/>
  <c r="I43" i="1"/>
  <c r="I60" i="1"/>
  <c r="I65" i="1"/>
</calcChain>
</file>

<file path=xl/sharedStrings.xml><?xml version="1.0" encoding="utf-8"?>
<sst xmlns="http://schemas.openxmlformats.org/spreadsheetml/2006/main" count="208" uniqueCount="87">
  <si>
    <t>C.TY YYY</t>
  </si>
  <si>
    <t>Minh Tuyến</t>
  </si>
  <si>
    <t>Hoàn tất thủ tục đóng dự án</t>
  </si>
  <si>
    <t>Hoàn thành bàn giao tài liệu vận hành</t>
  </si>
  <si>
    <t>Nghiệm thu dự án</t>
  </si>
  <si>
    <t>V</t>
  </si>
  <si>
    <t>Hỗ trợ sau Golive (Onsite)</t>
  </si>
  <si>
    <t>Golive (Local site)</t>
  </si>
  <si>
    <t>Kiểm thử UAT</t>
  </si>
  <si>
    <t>Đào tạo và hướng dẫn</t>
  </si>
  <si>
    <t>Cài đặt hệ thống</t>
  </si>
  <si>
    <t>Triển khai phân hệ đồng bộ</t>
  </si>
  <si>
    <t>Khai báo dữ liệu</t>
  </si>
  <si>
    <t>Triển khai phân hệ</t>
  </si>
  <si>
    <t>Hoàn thành bộ dữ liệu master data cài đặt hệ thống</t>
  </si>
  <si>
    <t>Triển khai dự án</t>
  </si>
  <si>
    <t>IV</t>
  </si>
  <si>
    <t>Chuẩn bị demo và bàn giao</t>
  </si>
  <si>
    <t>Refactor mã nguồn</t>
  </si>
  <si>
    <t>Hoàn thiện tài liệu SRS</t>
  </si>
  <si>
    <t>Cập nhật tiến độ dự án</t>
  </si>
  <si>
    <t>Cập nhật kế hoạch dự án</t>
  </si>
  <si>
    <t>Hoàn thiện hệ thống</t>
  </si>
  <si>
    <t>Kiểm thử đơn vị (Unit Test)</t>
  </si>
  <si>
    <t>Kiểm thử chức năng Nghỉ phép</t>
  </si>
  <si>
    <t>Kiểm thử chức năng Chấm công</t>
  </si>
  <si>
    <t>Kiểm thử chức năng Đăng nhập</t>
  </si>
  <si>
    <t>Tích hợp Frontend và Backend</t>
  </si>
  <si>
    <t>Cấu hình CORS</t>
  </si>
  <si>
    <t>Tích hợp hệ thống</t>
  </si>
  <si>
    <t>Xây dựng API Bảng lương</t>
  </si>
  <si>
    <t>2.10</t>
  </si>
  <si>
    <t>Xây dựng API Duyệt nghỉ phép</t>
  </si>
  <si>
    <t>Xây dựng API Nghỉ phép</t>
  </si>
  <si>
    <t>Xây dựng API Chấm công</t>
  </si>
  <si>
    <t>Xây dựng API Cấu hình</t>
  </si>
  <si>
    <t>Xây dựng API Quản lý nhân viên</t>
  </si>
  <si>
    <t>Xây dựng API Đăng nhập</t>
  </si>
  <si>
    <t>Cấu hình Spring Security và JWT</t>
  </si>
  <si>
    <t>Thiết kế Entity và Cơ sở dữ liệu</t>
  </si>
  <si>
    <t>Khởi tạo dự án Spring Boot</t>
  </si>
  <si>
    <t>Phát triển Backend</t>
  </si>
  <si>
    <t>Xây dựng trang Bảng lương</t>
  </si>
  <si>
    <t>Xây dựng trang Duyệt nghỉ phép</t>
  </si>
  <si>
    <t>1.10</t>
  </si>
  <si>
    <t>Xây dựng trang Nghỉ phép</t>
  </si>
  <si>
    <t>Xây dựng trang Chấm công</t>
  </si>
  <si>
    <t>Xây dựng trang Cấu hình</t>
  </si>
  <si>
    <t>Xây dựng trang Hồ sơ cá nhân</t>
  </si>
  <si>
    <t>Xây dựng trang Quản lý nhân viên</t>
  </si>
  <si>
    <t>Xây dựng Dashboard</t>
  </si>
  <si>
    <t>Thiết kế Layout hệ thống</t>
  </si>
  <si>
    <t>Xây dựng giao diện đăng nhập</t>
  </si>
  <si>
    <t>Khởi tạo Frontend SPA</t>
  </si>
  <si>
    <t>Phát triển Frontend</t>
  </si>
  <si>
    <t>Triển khai và phát triển hệ thống</t>
  </si>
  <si>
    <t>III</t>
  </si>
  <si>
    <t>Thiết kế giao diện (Web, App)</t>
  </si>
  <si>
    <t>Thiết kế các module chức năng</t>
  </si>
  <si>
    <t>Thiết kế kiến trúc hệ thống</t>
  </si>
  <si>
    <t>Phân tích yêu cầu nghiệp vụ</t>
  </si>
  <si>
    <t xml:space="preserve">Lập kế hoạch dự án </t>
  </si>
  <si>
    <t>Phân tích thiết kế hệ thống</t>
  </si>
  <si>
    <t>II</t>
  </si>
  <si>
    <t>Kich-off dự án</t>
  </si>
  <si>
    <t>Ký kết hợp đồng</t>
  </si>
  <si>
    <t>Thống nhất đầu bài và phương án triển khai</t>
  </si>
  <si>
    <t xml:space="preserve">Khảo sát, tổng hợp thông tin yêu cầu. </t>
  </si>
  <si>
    <t>Khởi động dự án</t>
  </si>
  <si>
    <t>Khởi tạo dự án</t>
  </si>
  <si>
    <t>I</t>
  </si>
  <si>
    <t>Kế hoạch
Số ngày</t>
  </si>
  <si>
    <t>Kế hoạch
Kết thúc</t>
  </si>
  <si>
    <t>Kế hoạch
Bắt đầu</t>
  </si>
  <si>
    <t>Tiến độ</t>
  </si>
  <si>
    <t>Phối hợp</t>
  </si>
  <si>
    <t>Phụ trách</t>
  </si>
  <si>
    <t>Tóm tắt nội dung</t>
  </si>
  <si>
    <t>Công việc</t>
  </si>
  <si>
    <t>Stt</t>
  </si>
  <si>
    <t>Display Period:</t>
  </si>
  <si>
    <t>Weekly</t>
  </si>
  <si>
    <t>Display:</t>
  </si>
  <si>
    <t>Project Start:</t>
  </si>
  <si>
    <t>Người lập: Đặng Thành Trung</t>
  </si>
  <si>
    <t>Đơn vị: Bộ môn CNPM</t>
  </si>
  <si>
    <t>Dự án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</si>
</sst>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ddd\,\ m/d/yyyy"/>
  </numFmts>
  <fonts count="9" x14ac:knownFonts="1">
    <font>
      <sz val="11"/>
      <color theme="1"/>
      <name val="Aptos Narrow"/>
      <family val="2"/>
      <charset val="163"/>
      <scheme val="minor"/>
    </font>
    <font>
      <sz val="10"/>
      <color theme="1"/>
      <name val="Times New Roman"/>
    </font>
    <font>
      <b/>
      <sz val="10"/>
      <color theme="1"/>
      <name val="Times New Roman"/>
    </font>
    <font>
      <sz val="11"/>
      <name val="Arial"/>
    </font>
    <font>
      <b/>
      <sz val="11"/>
      <color theme="1"/>
      <name val="Aptos Narrow"/>
      <scheme val="minor"/>
    </font>
    <font>
      <b/>
      <i/>
      <sz val="10"/>
      <color theme="1"/>
      <name val="Times New Roman"/>
    </font>
    <font>
      <b/>
      <sz val="10"/>
      <color theme="0"/>
      <name val="Times New Roman"/>
    </font>
    <font>
      <b/>
      <sz val="10"/>
      <color rgb="FF2B4575"/>
      <name val="Times New Roman"/>
    </font>
    <font>
      <b/>
      <sz val="10"/>
      <color theme="4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DEE7F5"/>
        <bgColor rgb="FFDEE7F5"/>
      </patternFill>
    </fill>
    <fill>
      <patternFill patternType="solid">
        <fgColor rgb="FF7D9ACE"/>
        <bgColor rgb="FF7D9ACE"/>
      </patternFill>
    </fill>
    <fill>
      <patternFill patternType="solid">
        <fgColor theme="4" tint="0.79998168889431442"/>
        <bgColor rgb="FFDEE7F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F7F7F"/>
        <bgColor rgb="FF7F7F7F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/>
      <top style="medium">
        <color rgb="FFD8D8D8"/>
      </top>
      <bottom style="medium">
        <color rgb="FFD8D8D8"/>
      </bottom>
      <diagonal/>
    </border>
    <border>
      <left/>
      <right/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0" fillId="5" borderId="0" xfId="0" applyNumberFormat="1" applyFill="1" applyAlignment="1">
      <alignment vertical="center" wrapText="1"/>
    </xf>
    <xf numFmtId="0" fontId="3" fillId="0" borderId="2" xfId="0" applyFont="1" applyBorder="1"/>
    <xf numFmtId="0" fontId="2" fillId="3" borderId="3" xfId="0" applyFont="1" applyFill="1" applyBorder="1" applyAlignment="1">
      <alignment vertical="center"/>
    </xf>
    <xf numFmtId="14" fontId="0" fillId="6" borderId="0" xfId="0" applyNumberFormat="1" applyFill="1" applyAlignment="1">
      <alignment vertical="center" wrapText="1"/>
    </xf>
    <xf numFmtId="0" fontId="0" fillId="6" borderId="0" xfId="0" applyFill="1" applyAlignment="1">
      <alignment vertical="center" wrapText="1"/>
    </xf>
    <xf numFmtId="9" fontId="2" fillId="4" borderId="1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14" fontId="4" fillId="6" borderId="0" xfId="0" applyNumberFormat="1" applyFont="1" applyFill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center" vertical="center"/>
    </xf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/>
    <xf numFmtId="165" fontId="1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1778-EBC5-46DC-8BDB-FE3ACC3C8335}">
  <dimension ref="A1:I73"/>
  <sheetViews>
    <sheetView tabSelected="1" workbookViewId="0">
      <selection activeCell="K8" sqref="K8"/>
    </sheetView>
  </sheetViews>
  <sheetFormatPr defaultRowHeight="14.4" x14ac:dyDescent="0.3"/>
  <cols>
    <col min="2" max="2" width="34.88671875" customWidth="1"/>
    <col min="3" max="3" width="18.6640625" customWidth="1"/>
    <col min="4" max="4" width="16.33203125" customWidth="1"/>
    <col min="5" max="5" width="12.44140625" customWidth="1"/>
    <col min="7" max="7" width="12.109375" customWidth="1"/>
    <col min="8" max="8" width="11.77734375" customWidth="1"/>
  </cols>
  <sheetData>
    <row r="1" spans="1:9" x14ac:dyDescent="0.3">
      <c r="A1" s="52" t="s">
        <v>86</v>
      </c>
      <c r="B1" s="51"/>
      <c r="C1" s="51"/>
      <c r="D1" s="51"/>
      <c r="E1" s="51"/>
      <c r="F1" s="43"/>
      <c r="G1" s="50"/>
      <c r="H1" s="43"/>
      <c r="I1" s="43"/>
    </row>
    <row r="2" spans="1:9" x14ac:dyDescent="0.3">
      <c r="A2" s="43" t="s">
        <v>85</v>
      </c>
      <c r="B2" s="43"/>
      <c r="C2" s="43"/>
      <c r="D2" s="43"/>
      <c r="E2" s="43"/>
      <c r="F2" s="43"/>
      <c r="G2" s="49"/>
      <c r="H2" s="43"/>
      <c r="I2" s="43"/>
    </row>
    <row r="3" spans="1:9" x14ac:dyDescent="0.3">
      <c r="A3" s="43" t="s">
        <v>84</v>
      </c>
      <c r="B3" s="43"/>
      <c r="C3" s="43"/>
      <c r="D3" s="43"/>
      <c r="E3" s="43"/>
      <c r="F3" s="45" t="s">
        <v>83</v>
      </c>
      <c r="G3" s="48">
        <v>45523</v>
      </c>
      <c r="H3" s="47"/>
      <c r="I3" s="43"/>
    </row>
    <row r="4" spans="1:9" x14ac:dyDescent="0.3">
      <c r="A4" s="45"/>
      <c r="B4" s="43"/>
      <c r="C4" s="43"/>
      <c r="D4" s="43"/>
      <c r="E4" s="43"/>
      <c r="F4" s="45" t="s">
        <v>82</v>
      </c>
      <c r="G4" s="46" t="s">
        <v>81</v>
      </c>
      <c r="H4" s="43"/>
      <c r="I4" s="43"/>
    </row>
    <row r="5" spans="1:9" x14ac:dyDescent="0.3">
      <c r="A5" s="45"/>
      <c r="B5" s="43"/>
      <c r="C5" s="43"/>
      <c r="D5" s="43"/>
      <c r="E5" s="43"/>
      <c r="F5" s="45" t="s">
        <v>80</v>
      </c>
      <c r="G5" s="44">
        <v>21</v>
      </c>
      <c r="H5" s="43"/>
      <c r="I5" s="43"/>
    </row>
    <row r="6" spans="1:9" x14ac:dyDescent="0.3">
      <c r="A6" s="42"/>
      <c r="B6" s="41"/>
      <c r="C6" s="41"/>
      <c r="D6" s="41"/>
      <c r="E6" s="41"/>
      <c r="F6" s="41"/>
      <c r="G6" s="41"/>
      <c r="H6" s="41"/>
      <c r="I6" s="41"/>
    </row>
    <row r="7" spans="1:9" ht="27" thickBot="1" x14ac:dyDescent="0.35">
      <c r="A7" s="40" t="s">
        <v>79</v>
      </c>
      <c r="B7" s="39" t="s">
        <v>78</v>
      </c>
      <c r="C7" s="39" t="s">
        <v>77</v>
      </c>
      <c r="D7" s="38" t="s">
        <v>76</v>
      </c>
      <c r="E7" s="38" t="s">
        <v>75</v>
      </c>
      <c r="F7" s="38" t="s">
        <v>74</v>
      </c>
      <c r="G7" s="37" t="s">
        <v>73</v>
      </c>
      <c r="H7" s="37" t="s">
        <v>72</v>
      </c>
      <c r="I7" s="37" t="s">
        <v>71</v>
      </c>
    </row>
    <row r="8" spans="1:9" ht="15" thickBot="1" x14ac:dyDescent="0.35">
      <c r="A8" s="33"/>
      <c r="B8" s="36"/>
      <c r="C8" s="36"/>
      <c r="D8" s="33"/>
      <c r="E8" s="33"/>
      <c r="F8" s="35"/>
      <c r="G8" s="34"/>
      <c r="H8" s="34"/>
      <c r="I8" s="33" t="str">
        <f>IF(OR(ISBLANK(G8),ISBLANK(H8)),"",H8-G8+1)</f>
        <v/>
      </c>
    </row>
    <row r="9" spans="1:9" ht="15" thickBot="1" x14ac:dyDescent="0.35">
      <c r="A9" s="10" t="s">
        <v>70</v>
      </c>
      <c r="B9" s="24" t="s">
        <v>69</v>
      </c>
      <c r="C9" s="32"/>
      <c r="D9" s="10"/>
      <c r="E9" s="10"/>
      <c r="F9" s="9"/>
      <c r="G9" s="8"/>
      <c r="H9" s="8"/>
      <c r="I9" s="7" t="str">
        <f>IF(OR(ISBLANK(G9),ISBLANK(H9)),"",H9-G9+1)</f>
        <v/>
      </c>
    </row>
    <row r="10" spans="1:9" ht="15" thickBot="1" x14ac:dyDescent="0.35">
      <c r="A10" s="13">
        <v>1</v>
      </c>
      <c r="B10" s="20" t="s">
        <v>68</v>
      </c>
      <c r="C10" s="20"/>
      <c r="D10" s="13" t="s">
        <v>1</v>
      </c>
      <c r="E10" s="13" t="s">
        <v>0</v>
      </c>
      <c r="F10" s="15">
        <v>1</v>
      </c>
      <c r="G10" s="29">
        <v>46210</v>
      </c>
      <c r="H10" s="29">
        <v>46210</v>
      </c>
      <c r="I10" s="18">
        <v>1</v>
      </c>
    </row>
    <row r="11" spans="1:9" ht="15" thickBot="1" x14ac:dyDescent="0.35">
      <c r="A11" s="13">
        <v>2</v>
      </c>
      <c r="B11" s="20" t="s">
        <v>67</v>
      </c>
      <c r="C11" s="20"/>
      <c r="D11" s="13" t="s">
        <v>1</v>
      </c>
      <c r="E11" s="13" t="s">
        <v>0</v>
      </c>
      <c r="F11" s="15">
        <v>1</v>
      </c>
      <c r="G11" s="25">
        <v>46210</v>
      </c>
      <c r="H11" s="25">
        <v>46210</v>
      </c>
      <c r="I11" s="18">
        <v>1</v>
      </c>
    </row>
    <row r="12" spans="1:9" ht="15" thickBot="1" x14ac:dyDescent="0.35">
      <c r="A12" s="13">
        <v>3</v>
      </c>
      <c r="B12" s="20" t="s">
        <v>66</v>
      </c>
      <c r="C12" s="20"/>
      <c r="D12" s="13" t="s">
        <v>1</v>
      </c>
      <c r="E12" s="13" t="s">
        <v>0</v>
      </c>
      <c r="F12" s="15">
        <v>1</v>
      </c>
      <c r="G12" s="25">
        <v>46210</v>
      </c>
      <c r="H12" s="25">
        <v>46210</v>
      </c>
      <c r="I12" s="18">
        <v>1</v>
      </c>
    </row>
    <row r="13" spans="1:9" ht="15" thickBot="1" x14ac:dyDescent="0.35">
      <c r="A13" s="13">
        <v>4</v>
      </c>
      <c r="B13" s="20" t="s">
        <v>65</v>
      </c>
      <c r="C13" s="20"/>
      <c r="D13" s="13" t="s">
        <v>1</v>
      </c>
      <c r="E13" s="13" t="s">
        <v>0</v>
      </c>
      <c r="F13" s="15">
        <v>1</v>
      </c>
      <c r="G13" s="25">
        <v>46210</v>
      </c>
      <c r="H13" s="25">
        <v>46210</v>
      </c>
      <c r="I13" s="18">
        <v>1</v>
      </c>
    </row>
    <row r="14" spans="1:9" ht="15" thickBot="1" x14ac:dyDescent="0.35">
      <c r="A14" s="13">
        <v>5</v>
      </c>
      <c r="B14" s="20" t="s">
        <v>64</v>
      </c>
      <c r="C14" s="20"/>
      <c r="D14" s="13" t="s">
        <v>1</v>
      </c>
      <c r="E14" s="13" t="s">
        <v>0</v>
      </c>
      <c r="F14" s="15">
        <v>1</v>
      </c>
      <c r="G14" s="25">
        <v>46210</v>
      </c>
      <c r="H14" s="25">
        <v>46210</v>
      </c>
      <c r="I14" s="18">
        <v>1</v>
      </c>
    </row>
    <row r="15" spans="1:9" ht="15" thickBot="1" x14ac:dyDescent="0.35">
      <c r="A15" s="10" t="s">
        <v>63</v>
      </c>
      <c r="B15" s="24" t="s">
        <v>62</v>
      </c>
      <c r="C15" s="32"/>
      <c r="D15" s="10"/>
      <c r="E15" s="10"/>
      <c r="F15" s="9"/>
      <c r="G15" s="22"/>
      <c r="H15" s="22"/>
      <c r="I15" s="7"/>
    </row>
    <row r="16" spans="1:9" ht="15" thickBot="1" x14ac:dyDescent="0.35">
      <c r="A16" s="13">
        <v>1</v>
      </c>
      <c r="B16" s="20" t="s">
        <v>61</v>
      </c>
      <c r="C16" s="20"/>
      <c r="D16" s="13" t="s">
        <v>1</v>
      </c>
      <c r="E16" s="13" t="s">
        <v>0</v>
      </c>
      <c r="F16" s="15">
        <v>1</v>
      </c>
      <c r="G16" s="29">
        <v>46211</v>
      </c>
      <c r="H16" s="29">
        <v>46212</v>
      </c>
      <c r="I16" s="18">
        <v>2</v>
      </c>
    </row>
    <row r="17" spans="1:9" ht="15" thickBot="1" x14ac:dyDescent="0.35">
      <c r="A17" s="13">
        <v>2</v>
      </c>
      <c r="B17" s="20" t="s">
        <v>60</v>
      </c>
      <c r="C17" s="20"/>
      <c r="D17" s="13" t="s">
        <v>1</v>
      </c>
      <c r="E17" s="13" t="s">
        <v>0</v>
      </c>
      <c r="F17" s="15">
        <v>1</v>
      </c>
      <c r="G17" s="25">
        <v>46211</v>
      </c>
      <c r="H17" s="25">
        <v>46211</v>
      </c>
      <c r="I17" s="18">
        <v>10</v>
      </c>
    </row>
    <row r="18" spans="1:9" ht="15" thickBot="1" x14ac:dyDescent="0.35">
      <c r="A18" s="13">
        <v>3</v>
      </c>
      <c r="B18" s="20" t="s">
        <v>59</v>
      </c>
      <c r="C18" s="20"/>
      <c r="D18" s="13" t="s">
        <v>1</v>
      </c>
      <c r="E18" s="13" t="s">
        <v>0</v>
      </c>
      <c r="F18" s="15">
        <v>1</v>
      </c>
      <c r="G18" s="25">
        <v>46211</v>
      </c>
      <c r="H18" s="25">
        <v>46211</v>
      </c>
      <c r="I18" s="18">
        <v>5</v>
      </c>
    </row>
    <row r="19" spans="1:9" ht="15" thickBot="1" x14ac:dyDescent="0.35">
      <c r="A19" s="13">
        <v>4</v>
      </c>
      <c r="B19" s="20" t="s">
        <v>58</v>
      </c>
      <c r="C19" s="20"/>
      <c r="D19" s="13" t="s">
        <v>1</v>
      </c>
      <c r="E19" s="13" t="s">
        <v>0</v>
      </c>
      <c r="F19" s="15">
        <v>1</v>
      </c>
      <c r="G19" s="25">
        <v>46212</v>
      </c>
      <c r="H19" s="25">
        <v>46212</v>
      </c>
      <c r="I19" s="18">
        <v>30</v>
      </c>
    </row>
    <row r="20" spans="1:9" ht="15" thickBot="1" x14ac:dyDescent="0.35">
      <c r="A20" s="13">
        <v>5</v>
      </c>
      <c r="B20" s="20" t="s">
        <v>57</v>
      </c>
      <c r="C20" s="20"/>
      <c r="D20" s="13" t="s">
        <v>1</v>
      </c>
      <c r="E20" s="13" t="s">
        <v>0</v>
      </c>
      <c r="F20" s="15">
        <v>1</v>
      </c>
      <c r="G20" s="25">
        <v>46212</v>
      </c>
      <c r="H20" s="25">
        <v>46212</v>
      </c>
      <c r="I20" s="18">
        <v>20</v>
      </c>
    </row>
    <row r="21" spans="1:9" ht="15" thickBot="1" x14ac:dyDescent="0.35">
      <c r="A21" s="10" t="s">
        <v>56</v>
      </c>
      <c r="B21" s="24" t="s">
        <v>55</v>
      </c>
      <c r="C21" s="32"/>
      <c r="D21" s="10"/>
      <c r="E21" s="10"/>
      <c r="F21" s="9"/>
      <c r="G21" s="22"/>
      <c r="H21" s="22"/>
      <c r="I21" s="7"/>
    </row>
    <row r="22" spans="1:9" ht="29.4" thickBot="1" x14ac:dyDescent="0.35">
      <c r="A22" s="17">
        <v>1</v>
      </c>
      <c r="B22" s="26" t="s">
        <v>54</v>
      </c>
      <c r="C22" s="20"/>
      <c r="D22" s="13" t="s">
        <v>1</v>
      </c>
      <c r="E22" s="13" t="s">
        <v>0</v>
      </c>
      <c r="F22" s="15"/>
      <c r="G22" s="29">
        <v>46213</v>
      </c>
      <c r="H22" s="29">
        <v>46220</v>
      </c>
      <c r="I22" s="18"/>
    </row>
    <row r="23" spans="1:9" ht="43.8" thickBot="1" x14ac:dyDescent="0.35">
      <c r="A23" s="28">
        <v>1.1000000000000001</v>
      </c>
      <c r="B23" s="26" t="s">
        <v>53</v>
      </c>
      <c r="C23" s="31"/>
      <c r="D23" s="13" t="s">
        <v>1</v>
      </c>
      <c r="E23" s="13" t="s">
        <v>0</v>
      </c>
      <c r="F23" s="15">
        <v>1</v>
      </c>
      <c r="G23" s="29">
        <v>46213</v>
      </c>
      <c r="H23" s="29">
        <v>46216</v>
      </c>
      <c r="I23" s="30">
        <f>SUM(I24:I33)</f>
        <v>28</v>
      </c>
    </row>
    <row r="24" spans="1:9" ht="58.2" thickBot="1" x14ac:dyDescent="0.35">
      <c r="A24" s="28">
        <v>1.2</v>
      </c>
      <c r="B24" s="26" t="s">
        <v>52</v>
      </c>
      <c r="C24" s="20"/>
      <c r="D24" s="13" t="s">
        <v>1</v>
      </c>
      <c r="E24" s="13" t="s">
        <v>0</v>
      </c>
      <c r="F24" s="15">
        <v>1</v>
      </c>
      <c r="G24" s="25">
        <v>46213</v>
      </c>
      <c r="H24" s="25">
        <v>46213</v>
      </c>
      <c r="I24" s="18">
        <v>2</v>
      </c>
    </row>
    <row r="25" spans="1:9" ht="43.8" thickBot="1" x14ac:dyDescent="0.35">
      <c r="A25" s="28">
        <v>1.3</v>
      </c>
      <c r="B25" s="26" t="s">
        <v>51</v>
      </c>
      <c r="C25" s="20"/>
      <c r="D25" s="13" t="s">
        <v>1</v>
      </c>
      <c r="E25" s="13" t="s">
        <v>0</v>
      </c>
      <c r="F25" s="15">
        <v>1</v>
      </c>
      <c r="G25" s="25">
        <v>46213</v>
      </c>
      <c r="H25" s="25">
        <v>46213</v>
      </c>
      <c r="I25" s="18">
        <v>2</v>
      </c>
    </row>
    <row r="26" spans="1:9" ht="43.8" thickBot="1" x14ac:dyDescent="0.35">
      <c r="A26" s="28">
        <v>1.4</v>
      </c>
      <c r="B26" s="26" t="s">
        <v>50</v>
      </c>
      <c r="C26" s="20"/>
      <c r="D26" s="13" t="s">
        <v>1</v>
      </c>
      <c r="E26" s="13" t="s">
        <v>0</v>
      </c>
      <c r="F26" s="15">
        <v>1</v>
      </c>
      <c r="G26" s="25">
        <v>46213</v>
      </c>
      <c r="H26" s="25">
        <v>46213</v>
      </c>
      <c r="I26" s="18">
        <v>2</v>
      </c>
    </row>
    <row r="27" spans="1:9" ht="58.2" thickBot="1" x14ac:dyDescent="0.35">
      <c r="A27" s="28">
        <v>1.5</v>
      </c>
      <c r="B27" s="26" t="s">
        <v>49</v>
      </c>
      <c r="C27" s="20"/>
      <c r="D27" s="13" t="s">
        <v>1</v>
      </c>
      <c r="E27" s="13" t="s">
        <v>0</v>
      </c>
      <c r="F27" s="15">
        <v>1</v>
      </c>
      <c r="G27" s="25">
        <v>46216</v>
      </c>
      <c r="H27" s="25">
        <v>46216</v>
      </c>
      <c r="I27" s="18">
        <v>2</v>
      </c>
    </row>
    <row r="28" spans="1:9" ht="58.2" thickBot="1" x14ac:dyDescent="0.35">
      <c r="A28" s="28">
        <v>1.6</v>
      </c>
      <c r="B28" s="26" t="s">
        <v>48</v>
      </c>
      <c r="C28" s="20"/>
      <c r="D28" s="13" t="s">
        <v>1</v>
      </c>
      <c r="E28" s="13" t="s">
        <v>0</v>
      </c>
      <c r="F28" s="15">
        <v>1</v>
      </c>
      <c r="G28" s="25">
        <v>46216</v>
      </c>
      <c r="H28" s="25">
        <v>46216</v>
      </c>
      <c r="I28" s="18">
        <v>3</v>
      </c>
    </row>
    <row r="29" spans="1:9" ht="43.8" thickBot="1" x14ac:dyDescent="0.35">
      <c r="A29" s="28">
        <v>1.7</v>
      </c>
      <c r="B29" s="26" t="s">
        <v>47</v>
      </c>
      <c r="C29" s="20"/>
      <c r="D29" s="13" t="s">
        <v>1</v>
      </c>
      <c r="E29" s="13" t="s">
        <v>0</v>
      </c>
      <c r="F29" s="15">
        <v>1</v>
      </c>
      <c r="G29" s="25">
        <v>46216</v>
      </c>
      <c r="H29" s="25">
        <v>46216</v>
      </c>
      <c r="I29" s="18">
        <v>3</v>
      </c>
    </row>
    <row r="30" spans="1:9" ht="58.2" thickBot="1" x14ac:dyDescent="0.35">
      <c r="A30" s="28">
        <v>1.8</v>
      </c>
      <c r="B30" s="26" t="s">
        <v>46</v>
      </c>
      <c r="C30" s="20"/>
      <c r="D30" s="13" t="s">
        <v>1</v>
      </c>
      <c r="E30" s="13" t="s">
        <v>0</v>
      </c>
      <c r="F30" s="15">
        <v>1</v>
      </c>
      <c r="G30" s="25">
        <v>46216</v>
      </c>
      <c r="H30" s="25">
        <v>46216</v>
      </c>
      <c r="I30" s="18">
        <v>3</v>
      </c>
    </row>
    <row r="31" spans="1:9" ht="58.2" thickBot="1" x14ac:dyDescent="0.35">
      <c r="A31" s="28">
        <v>1.9</v>
      </c>
      <c r="B31" s="26" t="s">
        <v>45</v>
      </c>
      <c r="C31" s="20"/>
      <c r="D31" s="13" t="s">
        <v>1</v>
      </c>
      <c r="E31" s="13" t="s">
        <v>0</v>
      </c>
      <c r="F31" s="15">
        <v>1</v>
      </c>
      <c r="G31" s="25">
        <v>46216</v>
      </c>
      <c r="H31" s="25">
        <v>46216</v>
      </c>
      <c r="I31" s="18">
        <v>5</v>
      </c>
    </row>
    <row r="32" spans="1:9" ht="58.2" thickBot="1" x14ac:dyDescent="0.35">
      <c r="A32" s="28" t="s">
        <v>44</v>
      </c>
      <c r="B32" s="26" t="s">
        <v>43</v>
      </c>
      <c r="C32" s="20"/>
      <c r="D32" s="13" t="s">
        <v>1</v>
      </c>
      <c r="E32" s="13" t="s">
        <v>0</v>
      </c>
      <c r="F32" s="15">
        <v>1</v>
      </c>
      <c r="G32" s="25">
        <v>46216</v>
      </c>
      <c r="H32" s="25">
        <v>46216</v>
      </c>
      <c r="I32" s="18">
        <v>3</v>
      </c>
    </row>
    <row r="33" spans="1:9" ht="58.2" thickBot="1" x14ac:dyDescent="0.35">
      <c r="A33" s="28">
        <v>1.1100000000000001</v>
      </c>
      <c r="B33" s="26" t="s">
        <v>42</v>
      </c>
      <c r="C33" s="20"/>
      <c r="D33" s="13" t="s">
        <v>1</v>
      </c>
      <c r="E33" s="13" t="s">
        <v>0</v>
      </c>
      <c r="F33" s="15">
        <v>1</v>
      </c>
      <c r="G33" s="25">
        <v>46216</v>
      </c>
      <c r="H33" s="25">
        <v>46216</v>
      </c>
      <c r="I33" s="18">
        <v>3</v>
      </c>
    </row>
    <row r="34" spans="1:9" ht="29.4" thickBot="1" x14ac:dyDescent="0.35">
      <c r="A34" s="28">
        <v>2</v>
      </c>
      <c r="B34" s="26" t="s">
        <v>41</v>
      </c>
      <c r="C34" s="20"/>
      <c r="D34" s="13" t="s">
        <v>1</v>
      </c>
      <c r="E34" s="13" t="s">
        <v>0</v>
      </c>
      <c r="F34" s="15"/>
      <c r="G34" s="25">
        <v>46216</v>
      </c>
      <c r="H34" s="25">
        <v>46216</v>
      </c>
      <c r="I34" s="30">
        <f>SUM(I35)</f>
        <v>2</v>
      </c>
    </row>
    <row r="35" spans="1:9" ht="58.2" thickBot="1" x14ac:dyDescent="0.35">
      <c r="A35" s="28">
        <v>2.1</v>
      </c>
      <c r="B35" s="26" t="s">
        <v>40</v>
      </c>
      <c r="C35" s="20"/>
      <c r="D35" s="13" t="s">
        <v>1</v>
      </c>
      <c r="E35" s="13" t="s">
        <v>0</v>
      </c>
      <c r="F35" s="15">
        <v>1</v>
      </c>
      <c r="G35" s="29">
        <v>46217</v>
      </c>
      <c r="H35" s="29">
        <v>46219</v>
      </c>
      <c r="I35" s="18">
        <v>2</v>
      </c>
    </row>
    <row r="36" spans="1:9" ht="58.2" thickBot="1" x14ac:dyDescent="0.35">
      <c r="A36" s="17">
        <v>2.2000000000000002</v>
      </c>
      <c r="B36" s="26" t="s">
        <v>39</v>
      </c>
      <c r="C36" s="20"/>
      <c r="D36" s="13" t="s">
        <v>1</v>
      </c>
      <c r="E36" s="13" t="s">
        <v>0</v>
      </c>
      <c r="F36" s="15">
        <v>1</v>
      </c>
      <c r="G36" s="25">
        <v>46217</v>
      </c>
      <c r="H36" s="25">
        <v>46217</v>
      </c>
      <c r="I36" s="30">
        <f>SUM(I37:I41)</f>
        <v>12</v>
      </c>
    </row>
    <row r="37" spans="1:9" ht="58.2" thickBot="1" x14ac:dyDescent="0.35">
      <c r="A37" s="28">
        <v>2.2999999999999998</v>
      </c>
      <c r="B37" s="26" t="s">
        <v>38</v>
      </c>
      <c r="C37" s="20"/>
      <c r="D37" s="13" t="s">
        <v>1</v>
      </c>
      <c r="E37" s="13" t="s">
        <v>0</v>
      </c>
      <c r="F37" s="15">
        <v>1</v>
      </c>
      <c r="G37" s="25">
        <v>46217</v>
      </c>
      <c r="H37" s="25">
        <v>46217</v>
      </c>
      <c r="I37" s="18">
        <v>2</v>
      </c>
    </row>
    <row r="38" spans="1:9" ht="43.8" thickBot="1" x14ac:dyDescent="0.35">
      <c r="A38" s="28">
        <v>2.4</v>
      </c>
      <c r="B38" s="26" t="s">
        <v>37</v>
      </c>
      <c r="C38" s="20"/>
      <c r="D38" s="13" t="s">
        <v>1</v>
      </c>
      <c r="E38" s="13" t="s">
        <v>0</v>
      </c>
      <c r="F38" s="15">
        <v>0</v>
      </c>
      <c r="G38" s="25">
        <v>46217</v>
      </c>
      <c r="H38" s="25">
        <v>46218</v>
      </c>
      <c r="I38" s="18">
        <v>2</v>
      </c>
    </row>
    <row r="39" spans="1:9" ht="58.2" thickBot="1" x14ac:dyDescent="0.35">
      <c r="A39" s="28">
        <v>2.5</v>
      </c>
      <c r="B39" s="26" t="s">
        <v>36</v>
      </c>
      <c r="C39" s="20"/>
      <c r="D39" s="13" t="s">
        <v>1</v>
      </c>
      <c r="E39" s="13" t="s">
        <v>0</v>
      </c>
      <c r="F39" s="15">
        <v>0</v>
      </c>
      <c r="G39" s="25">
        <v>46218</v>
      </c>
      <c r="H39" s="25">
        <v>46218</v>
      </c>
      <c r="I39" s="18">
        <v>2</v>
      </c>
    </row>
    <row r="40" spans="1:9" ht="43.8" thickBot="1" x14ac:dyDescent="0.35">
      <c r="A40" s="28">
        <v>2.6</v>
      </c>
      <c r="B40" s="26" t="s">
        <v>35</v>
      </c>
      <c r="C40" s="20"/>
      <c r="D40" s="13" t="s">
        <v>1</v>
      </c>
      <c r="E40" s="13" t="s">
        <v>0</v>
      </c>
      <c r="F40" s="15">
        <v>0</v>
      </c>
      <c r="G40" s="25">
        <v>46218</v>
      </c>
      <c r="H40" s="25">
        <v>46218</v>
      </c>
      <c r="I40" s="18">
        <v>3</v>
      </c>
    </row>
    <row r="41" spans="1:9" ht="43.8" thickBot="1" x14ac:dyDescent="0.35">
      <c r="A41" s="28">
        <v>2.7</v>
      </c>
      <c r="B41" s="26" t="s">
        <v>34</v>
      </c>
      <c r="C41" s="20"/>
      <c r="D41" s="13" t="s">
        <v>1</v>
      </c>
      <c r="E41" s="13" t="s">
        <v>0</v>
      </c>
      <c r="F41" s="15">
        <v>0</v>
      </c>
      <c r="G41" s="25">
        <v>46218</v>
      </c>
      <c r="H41" s="25">
        <v>46219</v>
      </c>
      <c r="I41" s="18">
        <v>3</v>
      </c>
    </row>
    <row r="42" spans="1:9" ht="43.8" thickBot="1" x14ac:dyDescent="0.35">
      <c r="A42" s="28">
        <v>2.8</v>
      </c>
      <c r="B42" s="26" t="s">
        <v>33</v>
      </c>
      <c r="C42" s="20"/>
      <c r="D42" s="13" t="s">
        <v>1</v>
      </c>
      <c r="E42" s="13" t="s">
        <v>0</v>
      </c>
      <c r="F42" s="15">
        <v>0</v>
      </c>
      <c r="G42" s="25">
        <v>46219</v>
      </c>
      <c r="H42" s="25">
        <v>46219</v>
      </c>
      <c r="I42" s="18">
        <v>3</v>
      </c>
    </row>
    <row r="43" spans="1:9" ht="43.8" thickBot="1" x14ac:dyDescent="0.35">
      <c r="A43" s="28">
        <v>2.9</v>
      </c>
      <c r="B43" s="26" t="s">
        <v>32</v>
      </c>
      <c r="C43" s="20"/>
      <c r="D43" s="13" t="s">
        <v>1</v>
      </c>
      <c r="E43" s="13" t="s">
        <v>0</v>
      </c>
      <c r="F43" s="15">
        <v>0</v>
      </c>
      <c r="G43" s="25">
        <v>46219</v>
      </c>
      <c r="H43" s="25">
        <v>46219</v>
      </c>
      <c r="I43" s="30">
        <f>SUM(I44:I47)</f>
        <v>9</v>
      </c>
    </row>
    <row r="44" spans="1:9" ht="43.8" thickBot="1" x14ac:dyDescent="0.35">
      <c r="A44" s="28" t="s">
        <v>31</v>
      </c>
      <c r="B44" s="26" t="s">
        <v>30</v>
      </c>
      <c r="C44" s="20"/>
      <c r="D44" s="13" t="s">
        <v>1</v>
      </c>
      <c r="E44" s="13" t="s">
        <v>0</v>
      </c>
      <c r="F44" s="15">
        <v>0</v>
      </c>
      <c r="G44" s="25">
        <v>46219</v>
      </c>
      <c r="H44" s="25">
        <v>46219</v>
      </c>
      <c r="I44" s="18">
        <v>2</v>
      </c>
    </row>
    <row r="45" spans="1:9" ht="29.4" thickBot="1" x14ac:dyDescent="0.35">
      <c r="A45" s="28">
        <v>3</v>
      </c>
      <c r="B45" s="26" t="s">
        <v>29</v>
      </c>
      <c r="C45" s="20"/>
      <c r="D45" s="13" t="s">
        <v>1</v>
      </c>
      <c r="E45" s="13" t="s">
        <v>0</v>
      </c>
      <c r="F45" s="15">
        <v>0</v>
      </c>
      <c r="G45" s="25">
        <v>46219</v>
      </c>
      <c r="H45" s="25">
        <v>46219</v>
      </c>
      <c r="I45" s="18">
        <v>2</v>
      </c>
    </row>
    <row r="46" spans="1:9" ht="29.4" thickBot="1" x14ac:dyDescent="0.35">
      <c r="A46" s="28">
        <v>3.1</v>
      </c>
      <c r="B46" s="26" t="s">
        <v>28</v>
      </c>
      <c r="C46" s="20"/>
      <c r="D46" s="13" t="s">
        <v>1</v>
      </c>
      <c r="E46" s="13" t="s">
        <v>0</v>
      </c>
      <c r="F46" s="15">
        <v>0</v>
      </c>
      <c r="G46" s="29">
        <v>46220</v>
      </c>
      <c r="H46" s="29">
        <v>46220</v>
      </c>
      <c r="I46" s="18">
        <v>2</v>
      </c>
    </row>
    <row r="47" spans="1:9" ht="58.2" thickBot="1" x14ac:dyDescent="0.35">
      <c r="A47" s="28">
        <v>3.2</v>
      </c>
      <c r="B47" s="26" t="s">
        <v>27</v>
      </c>
      <c r="C47" s="20"/>
      <c r="D47" s="13" t="s">
        <v>1</v>
      </c>
      <c r="E47" s="13" t="s">
        <v>0</v>
      </c>
      <c r="F47" s="15">
        <v>0</v>
      </c>
      <c r="G47" s="25">
        <v>46220</v>
      </c>
      <c r="H47" s="25">
        <v>46220</v>
      </c>
      <c r="I47" s="18">
        <v>3</v>
      </c>
    </row>
    <row r="48" spans="1:9" ht="72.599999999999994" thickBot="1" x14ac:dyDescent="0.35">
      <c r="A48" s="17">
        <v>3.3</v>
      </c>
      <c r="B48" s="26" t="s">
        <v>26</v>
      </c>
      <c r="C48" s="16"/>
      <c r="D48" s="13" t="s">
        <v>1</v>
      </c>
      <c r="E48" s="13" t="s">
        <v>0</v>
      </c>
      <c r="F48" s="15">
        <v>0</v>
      </c>
      <c r="G48" s="25">
        <v>46220</v>
      </c>
      <c r="H48" s="25">
        <v>46220</v>
      </c>
      <c r="I48" s="18">
        <v>2</v>
      </c>
    </row>
    <row r="49" spans="1:9" ht="72.599999999999994" thickBot="1" x14ac:dyDescent="0.35">
      <c r="A49" s="28">
        <v>3.4</v>
      </c>
      <c r="B49" s="26" t="s">
        <v>25</v>
      </c>
      <c r="C49" s="16"/>
      <c r="D49" s="13" t="s">
        <v>1</v>
      </c>
      <c r="E49" s="13" t="s">
        <v>0</v>
      </c>
      <c r="F49" s="15">
        <v>0</v>
      </c>
      <c r="G49" s="25">
        <v>46220</v>
      </c>
      <c r="H49" s="25">
        <v>46220</v>
      </c>
      <c r="I49" s="18">
        <v>2</v>
      </c>
    </row>
    <row r="50" spans="1:9" ht="58.2" thickBot="1" x14ac:dyDescent="0.35">
      <c r="A50" s="28">
        <v>3.5</v>
      </c>
      <c r="B50" s="26" t="s">
        <v>24</v>
      </c>
      <c r="C50" s="16"/>
      <c r="D50" s="13" t="s">
        <v>1</v>
      </c>
      <c r="E50" s="13" t="s">
        <v>0</v>
      </c>
      <c r="F50" s="15"/>
      <c r="G50" s="25">
        <v>46220</v>
      </c>
      <c r="H50" s="25">
        <v>46220</v>
      </c>
      <c r="I50" s="18"/>
    </row>
    <row r="51" spans="1:9" ht="58.2" thickBot="1" x14ac:dyDescent="0.35">
      <c r="A51" s="28">
        <v>3.6</v>
      </c>
      <c r="B51" s="26" t="s">
        <v>23</v>
      </c>
      <c r="C51" s="16"/>
      <c r="D51" s="13" t="s">
        <v>1</v>
      </c>
      <c r="E51" s="13" t="s">
        <v>0</v>
      </c>
      <c r="F51" s="15">
        <v>0</v>
      </c>
      <c r="G51" s="25">
        <v>46220</v>
      </c>
      <c r="H51" s="25">
        <v>46220</v>
      </c>
      <c r="I51" s="18">
        <v>2</v>
      </c>
    </row>
    <row r="52" spans="1:9" ht="43.8" thickBot="1" x14ac:dyDescent="0.35">
      <c r="A52" s="28">
        <v>4</v>
      </c>
      <c r="B52" s="26" t="s">
        <v>22</v>
      </c>
      <c r="C52" s="16"/>
      <c r="D52" s="13" t="s">
        <v>1</v>
      </c>
      <c r="E52" s="13" t="s">
        <v>0</v>
      </c>
      <c r="F52" s="15"/>
      <c r="G52" s="25">
        <v>46220</v>
      </c>
      <c r="H52" s="25">
        <v>46220</v>
      </c>
      <c r="I52" s="18"/>
    </row>
    <row r="53" spans="1:9" ht="43.8" thickBot="1" x14ac:dyDescent="0.35">
      <c r="A53" s="28">
        <v>4.0999999999999996</v>
      </c>
      <c r="B53" s="26" t="s">
        <v>21</v>
      </c>
      <c r="C53" s="16"/>
      <c r="D53" s="13" t="s">
        <v>1</v>
      </c>
      <c r="E53" s="13" t="s">
        <v>0</v>
      </c>
      <c r="F53" s="15">
        <v>0</v>
      </c>
      <c r="G53" s="29">
        <v>46223</v>
      </c>
      <c r="H53" s="29">
        <v>46223</v>
      </c>
      <c r="I53" s="18">
        <v>3</v>
      </c>
    </row>
    <row r="54" spans="1:9" ht="43.8" thickBot="1" x14ac:dyDescent="0.35">
      <c r="A54" s="28">
        <v>4.2</v>
      </c>
      <c r="B54" s="26" t="s">
        <v>20</v>
      </c>
      <c r="C54" s="16"/>
      <c r="D54" s="13" t="s">
        <v>1</v>
      </c>
      <c r="E54" s="13" t="s">
        <v>0</v>
      </c>
      <c r="F54" s="15">
        <v>0</v>
      </c>
      <c r="G54" s="25">
        <v>46223</v>
      </c>
      <c r="H54" s="25">
        <v>46223</v>
      </c>
      <c r="I54" s="18">
        <v>3</v>
      </c>
    </row>
    <row r="55" spans="1:9" ht="43.8" thickBot="1" x14ac:dyDescent="0.35">
      <c r="A55" s="13">
        <v>4.3</v>
      </c>
      <c r="B55" s="26" t="s">
        <v>19</v>
      </c>
      <c r="C55" s="16"/>
      <c r="D55" s="13" t="s">
        <v>1</v>
      </c>
      <c r="E55" s="13" t="s">
        <v>0</v>
      </c>
      <c r="F55" s="27">
        <v>0</v>
      </c>
      <c r="G55" s="25">
        <v>46223</v>
      </c>
      <c r="H55" s="25">
        <v>46223</v>
      </c>
      <c r="I55" s="13">
        <v>10</v>
      </c>
    </row>
    <row r="56" spans="1:9" ht="29.4" thickBot="1" x14ac:dyDescent="0.35">
      <c r="A56" s="18">
        <v>4.4000000000000004</v>
      </c>
      <c r="B56" s="26" t="s">
        <v>18</v>
      </c>
      <c r="C56" s="16"/>
      <c r="D56" s="13" t="s">
        <v>1</v>
      </c>
      <c r="E56" s="13" t="s">
        <v>0</v>
      </c>
      <c r="F56" s="15">
        <v>0</v>
      </c>
      <c r="G56" s="25">
        <v>46223</v>
      </c>
      <c r="H56" s="25">
        <v>46223</v>
      </c>
      <c r="I56" s="18">
        <v>5</v>
      </c>
    </row>
    <row r="57" spans="1:9" ht="43.8" thickBot="1" x14ac:dyDescent="0.35">
      <c r="A57" s="18">
        <v>4.5</v>
      </c>
      <c r="B57" s="26" t="s">
        <v>17</v>
      </c>
      <c r="C57" s="16"/>
      <c r="D57" s="13" t="s">
        <v>1</v>
      </c>
      <c r="E57" s="13" t="s">
        <v>0</v>
      </c>
      <c r="F57" s="15">
        <v>0</v>
      </c>
      <c r="G57" s="25">
        <v>46223</v>
      </c>
      <c r="H57" s="25">
        <v>46223</v>
      </c>
      <c r="I57" s="18">
        <v>5</v>
      </c>
    </row>
    <row r="58" spans="1:9" ht="15" thickBot="1" x14ac:dyDescent="0.35">
      <c r="A58" s="10" t="s">
        <v>16</v>
      </c>
      <c r="B58" s="24" t="s">
        <v>15</v>
      </c>
      <c r="C58" s="23"/>
      <c r="D58" s="10"/>
      <c r="E58" s="10"/>
      <c r="F58" s="9"/>
      <c r="G58" s="22"/>
      <c r="H58" s="22"/>
      <c r="I58" s="7"/>
    </row>
    <row r="59" spans="1:9" ht="15" thickBot="1" x14ac:dyDescent="0.35">
      <c r="A59" s="13">
        <v>1</v>
      </c>
      <c r="B59" s="21" t="s">
        <v>14</v>
      </c>
      <c r="C59" s="20"/>
      <c r="D59" s="13" t="s">
        <v>1</v>
      </c>
      <c r="E59" s="13" t="s">
        <v>0</v>
      </c>
      <c r="F59" s="15">
        <v>0</v>
      </c>
      <c r="G59" s="14"/>
      <c r="H59" s="14"/>
      <c r="I59" s="13">
        <v>2</v>
      </c>
    </row>
    <row r="60" spans="1:9" ht="15" thickBot="1" x14ac:dyDescent="0.35">
      <c r="A60" s="13">
        <v>2</v>
      </c>
      <c r="B60" s="21" t="s">
        <v>13</v>
      </c>
      <c r="C60" s="20"/>
      <c r="D60" s="13" t="s">
        <v>1</v>
      </c>
      <c r="E60" s="13" t="s">
        <v>0</v>
      </c>
      <c r="F60" s="15">
        <v>0</v>
      </c>
      <c r="G60" s="14"/>
      <c r="H60" s="14"/>
      <c r="I60" s="13">
        <f>SUM(I61:I64)</f>
        <v>6</v>
      </c>
    </row>
    <row r="61" spans="1:9" ht="15" thickBot="1" x14ac:dyDescent="0.35">
      <c r="A61" s="18">
        <v>2.1</v>
      </c>
      <c r="B61" s="20" t="s">
        <v>10</v>
      </c>
      <c r="C61" s="20"/>
      <c r="D61" s="13" t="s">
        <v>1</v>
      </c>
      <c r="E61" s="13" t="s">
        <v>0</v>
      </c>
      <c r="F61" s="15">
        <v>0</v>
      </c>
      <c r="G61" s="19"/>
      <c r="H61" s="19"/>
      <c r="I61" s="18">
        <v>1</v>
      </c>
    </row>
    <row r="62" spans="1:9" ht="15" thickBot="1" x14ac:dyDescent="0.35">
      <c r="A62" s="18">
        <v>2.2000000000000002</v>
      </c>
      <c r="B62" s="20" t="s">
        <v>12</v>
      </c>
      <c r="C62" s="20"/>
      <c r="D62" s="13" t="s">
        <v>1</v>
      </c>
      <c r="E62" s="13" t="s">
        <v>0</v>
      </c>
      <c r="F62" s="15">
        <v>0</v>
      </c>
      <c r="G62" s="19"/>
      <c r="H62" s="19"/>
      <c r="I62" s="18">
        <v>1</v>
      </c>
    </row>
    <row r="63" spans="1:9" ht="15" thickBot="1" x14ac:dyDescent="0.35">
      <c r="A63" s="18">
        <v>2.2999999999999998</v>
      </c>
      <c r="B63" s="20" t="s">
        <v>9</v>
      </c>
      <c r="C63" s="20"/>
      <c r="D63" s="13" t="s">
        <v>1</v>
      </c>
      <c r="E63" s="13" t="s">
        <v>0</v>
      </c>
      <c r="F63" s="15">
        <v>0</v>
      </c>
      <c r="G63" s="19"/>
      <c r="H63" s="19"/>
      <c r="I63" s="18">
        <v>3</v>
      </c>
    </row>
    <row r="64" spans="1:9" ht="15" thickBot="1" x14ac:dyDescent="0.35">
      <c r="A64" s="18">
        <v>2.4</v>
      </c>
      <c r="B64" s="20" t="s">
        <v>8</v>
      </c>
      <c r="C64" s="20"/>
      <c r="D64" s="13" t="s">
        <v>1</v>
      </c>
      <c r="E64" s="13" t="s">
        <v>0</v>
      </c>
      <c r="F64" s="15">
        <v>0</v>
      </c>
      <c r="G64" s="19"/>
      <c r="H64" s="19"/>
      <c r="I64" s="18">
        <v>1</v>
      </c>
    </row>
    <row r="65" spans="1:9" ht="15" thickBot="1" x14ac:dyDescent="0.35">
      <c r="A65" s="13">
        <v>3</v>
      </c>
      <c r="B65" s="21" t="s">
        <v>11</v>
      </c>
      <c r="C65" s="20"/>
      <c r="D65" s="13" t="s">
        <v>1</v>
      </c>
      <c r="E65" s="13" t="s">
        <v>0</v>
      </c>
      <c r="F65" s="15">
        <v>0</v>
      </c>
      <c r="G65" s="14"/>
      <c r="H65" s="14"/>
      <c r="I65" s="13" t="str">
        <f>IF(OR(ISBLANK(G65),ISBLANK(H65)),"",H65-G65+1)</f>
        <v/>
      </c>
    </row>
    <row r="66" spans="1:9" ht="15" thickBot="1" x14ac:dyDescent="0.35">
      <c r="A66" s="18">
        <v>3.1</v>
      </c>
      <c r="B66" s="20" t="s">
        <v>10</v>
      </c>
      <c r="C66" s="20"/>
      <c r="D66" s="13" t="s">
        <v>1</v>
      </c>
      <c r="E66" s="13" t="s">
        <v>0</v>
      </c>
      <c r="F66" s="15">
        <v>0</v>
      </c>
      <c r="G66" s="19"/>
      <c r="H66" s="19"/>
      <c r="I66" s="18">
        <v>1</v>
      </c>
    </row>
    <row r="67" spans="1:9" ht="15" thickBot="1" x14ac:dyDescent="0.35">
      <c r="A67" s="18">
        <v>3.2</v>
      </c>
      <c r="B67" s="20" t="s">
        <v>9</v>
      </c>
      <c r="C67" s="20"/>
      <c r="D67" s="13" t="s">
        <v>1</v>
      </c>
      <c r="E67" s="13" t="s">
        <v>0</v>
      </c>
      <c r="F67" s="15">
        <v>0</v>
      </c>
      <c r="G67" s="19"/>
      <c r="H67" s="19"/>
      <c r="I67" s="18">
        <v>1</v>
      </c>
    </row>
    <row r="68" spans="1:9" ht="15" thickBot="1" x14ac:dyDescent="0.35">
      <c r="A68" s="18">
        <v>3.3</v>
      </c>
      <c r="B68" s="20" t="s">
        <v>8</v>
      </c>
      <c r="C68" s="20"/>
      <c r="D68" s="13" t="s">
        <v>1</v>
      </c>
      <c r="E68" s="13" t="s">
        <v>0</v>
      </c>
      <c r="F68" s="15">
        <v>0</v>
      </c>
      <c r="G68" s="19"/>
      <c r="H68" s="19"/>
      <c r="I68" s="18">
        <v>2</v>
      </c>
    </row>
    <row r="69" spans="1:9" ht="15" thickBot="1" x14ac:dyDescent="0.35">
      <c r="A69" s="13">
        <v>5</v>
      </c>
      <c r="B69" s="17" t="s">
        <v>7</v>
      </c>
      <c r="C69" s="16"/>
      <c r="D69" s="13" t="s">
        <v>1</v>
      </c>
      <c r="E69" s="13" t="s">
        <v>0</v>
      </c>
      <c r="F69" s="15">
        <v>0</v>
      </c>
      <c r="G69" s="14"/>
      <c r="H69" s="14"/>
      <c r="I69" s="13">
        <v>1</v>
      </c>
    </row>
    <row r="70" spans="1:9" ht="15" thickBot="1" x14ac:dyDescent="0.35">
      <c r="A70" s="13">
        <v>6</v>
      </c>
      <c r="B70" s="17" t="s">
        <v>6</v>
      </c>
      <c r="C70" s="16"/>
      <c r="D70" s="13" t="s">
        <v>1</v>
      </c>
      <c r="E70" s="13" t="s">
        <v>0</v>
      </c>
      <c r="F70" s="15">
        <v>0</v>
      </c>
      <c r="G70" s="14"/>
      <c r="H70" s="14"/>
      <c r="I70" s="13">
        <v>3</v>
      </c>
    </row>
    <row r="71" spans="1:9" ht="15" thickBot="1" x14ac:dyDescent="0.35">
      <c r="A71" s="10" t="s">
        <v>5</v>
      </c>
      <c r="B71" s="12" t="s">
        <v>4</v>
      </c>
      <c r="C71" s="11"/>
      <c r="D71" s="10"/>
      <c r="E71" s="10"/>
      <c r="F71" s="9"/>
      <c r="G71" s="8"/>
      <c r="H71" s="8"/>
      <c r="I71" s="7">
        <v>4</v>
      </c>
    </row>
    <row r="72" spans="1:9" ht="15" thickBot="1" x14ac:dyDescent="0.35">
      <c r="A72" s="4">
        <v>1</v>
      </c>
      <c r="B72" s="6" t="s">
        <v>3</v>
      </c>
      <c r="C72" s="5"/>
      <c r="D72" s="4" t="s">
        <v>1</v>
      </c>
      <c r="E72" s="4" t="s">
        <v>0</v>
      </c>
      <c r="F72" s="3">
        <v>0</v>
      </c>
      <c r="G72" s="2"/>
      <c r="H72" s="2"/>
      <c r="I72" s="1">
        <v>3</v>
      </c>
    </row>
    <row r="73" spans="1:9" ht="15" thickBot="1" x14ac:dyDescent="0.35">
      <c r="A73" s="4">
        <v>2</v>
      </c>
      <c r="B73" s="6" t="s">
        <v>2</v>
      </c>
      <c r="C73" s="5"/>
      <c r="D73" s="4" t="s">
        <v>1</v>
      </c>
      <c r="E73" s="4" t="s">
        <v>0</v>
      </c>
      <c r="F73" s="3">
        <v>0</v>
      </c>
      <c r="G73" s="2"/>
      <c r="H73" s="2"/>
      <c r="I73" s="1">
        <v>1</v>
      </c>
    </row>
  </sheetData>
  <mergeCells count="6">
    <mergeCell ref="B58:C58"/>
    <mergeCell ref="G3:H3"/>
    <mergeCell ref="A6:I6"/>
    <mergeCell ref="B9:C9"/>
    <mergeCell ref="B15:C15"/>
    <mergeCell ref="B21:C21"/>
  </mergeCells>
  <dataValidations count="1">
    <dataValidation type="list" allowBlank="1" showErrorMessage="1" sqref="G4" xr:uid="{00000000-0002-0000-0400-000000000000}">
      <formula1>"Daily,Weekly,Monthly,Quarterly"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 Dinhs</dc:creator>
  <cp:lastModifiedBy>Nee Dinhs</cp:lastModifiedBy>
  <dcterms:created xsi:type="dcterms:W3CDTF">2026-07-14T09:03:17Z</dcterms:created>
  <dcterms:modified xsi:type="dcterms:W3CDTF">2026-07-14T09:03:59Z</dcterms:modified>
</cp:coreProperties>
</file>